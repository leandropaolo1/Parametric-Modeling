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2 (Singularity)" sheetId="1" r:id="rId4"/>
    <sheet state="visible" name="Problem2 (SuperPosition)" sheetId="2" r:id="rId5"/>
  </sheets>
  <definedNames/>
  <calcPr/>
</workbook>
</file>

<file path=xl/sharedStrings.xml><?xml version="1.0" encoding="utf-8"?>
<sst xmlns="http://schemas.openxmlformats.org/spreadsheetml/2006/main" count="103" uniqueCount="48">
  <si>
    <t>How far up is the rod at the end? Solving for y(Ld)</t>
  </si>
  <si>
    <t>Bc</t>
  </si>
  <si>
    <t>Desired</t>
  </si>
  <si>
    <t>Calculated</t>
  </si>
  <si>
    <t>Error</t>
  </si>
  <si>
    <t>Sum</t>
  </si>
  <si>
    <t>Singular</t>
  </si>
  <si>
    <t>y(E) (Deflection at End)</t>
  </si>
  <si>
    <t>Mesurements</t>
  </si>
  <si>
    <t>Value</t>
  </si>
  <si>
    <t>Unit</t>
  </si>
  <si>
    <t>d (Wire Diameter)</t>
  </si>
  <si>
    <t>in</t>
  </si>
  <si>
    <t>a</t>
  </si>
  <si>
    <t>L (Wire Length)</t>
  </si>
  <si>
    <t>b</t>
  </si>
  <si>
    <t>La (Lenght from Wall to W)</t>
  </si>
  <si>
    <t>d</t>
  </si>
  <si>
    <t>Lb (Lenght of W)</t>
  </si>
  <si>
    <t>e</t>
  </si>
  <si>
    <t>Singularity Function</t>
  </si>
  <si>
    <t>g(x)=w0(x-a)^0 -w0(x-(a+b))^0</t>
  </si>
  <si>
    <t>Lc (Lenght from End W to Roller)</t>
  </si>
  <si>
    <t>Ld (Length Roller to End)</t>
  </si>
  <si>
    <t>W (Distributed Load)</t>
  </si>
  <si>
    <t>lbs/in</t>
  </si>
  <si>
    <t>x</t>
  </si>
  <si>
    <t>g(x) (Singularity Function at any Point)</t>
  </si>
  <si>
    <t>V(x) (Shear Force at Any Point)</t>
  </si>
  <si>
    <t>M(x) (Bending Moment at Any Point)</t>
  </si>
  <si>
    <t>theta(x) (Slope at Any Point)</t>
  </si>
  <si>
    <t>y(x) (Height Change at any Point)</t>
  </si>
  <si>
    <t>E (Elastic Modulus)</t>
  </si>
  <si>
    <t>psi</t>
  </si>
  <si>
    <t>EI</t>
  </si>
  <si>
    <t>I (Inertia of Wire)</t>
  </si>
  <si>
    <t>in^4</t>
  </si>
  <si>
    <t>dx (Increment)</t>
  </si>
  <si>
    <t>Distance A</t>
  </si>
  <si>
    <t>Unknows</t>
  </si>
  <si>
    <t>R(a) (Reaction at A)</t>
  </si>
  <si>
    <t>R(b) (Reaction at D)</t>
  </si>
  <si>
    <t>M(a) (Reaction at A)</t>
  </si>
  <si>
    <t>Slope Radians</t>
  </si>
  <si>
    <t>Slope Degrees</t>
  </si>
  <si>
    <t>Y(F)</t>
  </si>
  <si>
    <t>Y(R)</t>
  </si>
  <si>
    <t>Y(total)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</si>
</sst>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5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3" fontId="2" numFmtId="0" xfId="0" applyAlignment="1" applyBorder="1" applyFill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1" fillId="2" fontId="2" numFmtId="0" xfId="0" applyAlignment="1" applyBorder="1" applyFont="1">
      <alignment horizontal="left" readingOrder="0"/>
    </xf>
    <xf borderId="12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horizontal="left" shrinkToFit="0" vertical="center" wrapText="0"/>
    </xf>
    <xf borderId="14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Problem2 (Singularity)-style">
      <tableStyleElement dxfId="1" type="headerRow"/>
      <tableStyleElement dxfId="2" type="firstRowStripe"/>
      <tableStyleElement dxfId="3" type="secondRowStripe"/>
    </tableStyle>
    <tableStyle count="3" pivot="0" name="Problem2 (SuperPosition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y(x) (Height Change at any Point) vs. 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'Problem2 (Singularity)'!$F$19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'Problem2 (Singularity)'!$A$20:$A$42</c:f>
            </c:strRef>
          </c:cat>
          <c:val>
            <c:numRef>
              <c:f>'Problem2 (Singularity)'!$F$20:$F$42</c:f>
              <c:numCache/>
            </c:numRef>
          </c:val>
          <c:smooth val="0"/>
        </c:ser>
        <c:axId val="1756304195"/>
        <c:axId val="1134577187"/>
      </c:lineChart>
      <c:catAx>
        <c:axId val="1756304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577187"/>
      </c:catAx>
      <c:valAx>
        <c:axId val="1134577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y(x) (Height Change at any Point)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304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42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161925</xdr:rowOff>
    </xdr:from>
    <xdr:ext cx="4219575" cy="28384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180975</xdr:rowOff>
    </xdr:from>
    <xdr:ext cx="3914775" cy="2466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9:F42" displayName="Table1" name="Table1" id="1">
  <tableColumns count="6">
    <tableColumn name="x" id="1"/>
    <tableColumn name="g(x) (Singularity Function at any Point)" id="2"/>
    <tableColumn name="V(x) (Shear Force at Any Point)" id="3"/>
    <tableColumn name="M(x) (Bending Moment at Any Point)" id="4"/>
    <tableColumn name="theta(x) (Slope at Any Point)" id="5"/>
    <tableColumn name="y(x) (Height Change at any Point)" id="6"/>
  </tableColumns>
  <tableStyleInfo name="Problem2 (Singularity)-style" showColumnStripes="0" showFirstColumn="1" showLastColumn="1" showRowStripes="1"/>
</table>
</file>

<file path=xl/tables/table2.xml><?xml version="1.0" encoding="utf-8"?>
<table xmlns="http://schemas.openxmlformats.org/spreadsheetml/2006/main" ref="A16:F39" displayName="Table2" name="Table2" id="2">
  <tableColumns count="6">
    <tableColumn name="x" id="1"/>
    <tableColumn name="g(x) (Singularity Function at any Point)" id="2"/>
    <tableColumn name="Y(F)" id="3"/>
    <tableColumn name="Y(R)" id="4"/>
    <tableColumn name="Y(total)" id="5"/>
    <tableColumn name="y(x) (Height Change at any Point)" id="6"/>
  </tableColumns>
  <tableStyleInfo name="Problem2 (SuperPosition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4.38"/>
    <col customWidth="1" min="5" max="5" width="13.88"/>
    <col customWidth="1" min="6" max="6" width="14.88"/>
    <col customWidth="1" min="8" max="8" width="25.5"/>
    <col customWidth="1" min="9" max="9" width="16.75"/>
  </cols>
  <sheetData>
    <row r="1">
      <c r="A1" s="1" t="s">
        <v>0</v>
      </c>
    </row>
    <row r="3">
      <c r="H3" s="2" t="s">
        <v>1</v>
      </c>
      <c r="I3" s="3" t="s">
        <v>2</v>
      </c>
      <c r="J3" s="3" t="s">
        <v>3</v>
      </c>
      <c r="K3" s="3" t="s">
        <v>4</v>
      </c>
      <c r="L3" s="3" t="s">
        <v>5</v>
      </c>
      <c r="N3" s="4" t="s">
        <v>6</v>
      </c>
    </row>
    <row r="4">
      <c r="H4" s="5" t="s">
        <v>7</v>
      </c>
      <c r="I4" s="6">
        <v>1.2</v>
      </c>
      <c r="J4" s="7">
        <f>F39</f>
        <v>-1.2884642</v>
      </c>
      <c r="K4" s="4">
        <v>0.0</v>
      </c>
      <c r="L4" s="4">
        <v>0.0</v>
      </c>
    </row>
    <row r="5">
      <c r="H5" s="5"/>
      <c r="I5" s="6"/>
      <c r="J5" s="7"/>
    </row>
    <row r="6">
      <c r="H6" s="5"/>
    </row>
    <row r="8">
      <c r="H8" s="8"/>
      <c r="I8" s="6"/>
      <c r="J8" s="7"/>
    </row>
    <row r="11">
      <c r="H11" s="2" t="s">
        <v>8</v>
      </c>
      <c r="I11" s="3" t="s">
        <v>9</v>
      </c>
      <c r="J11" s="3" t="s">
        <v>10</v>
      </c>
    </row>
    <row r="12">
      <c r="H12" s="5" t="s">
        <v>11</v>
      </c>
      <c r="I12" s="9">
        <v>0.125</v>
      </c>
      <c r="J12" s="10" t="s">
        <v>12</v>
      </c>
      <c r="L12" s="4" t="s">
        <v>13</v>
      </c>
      <c r="M12" s="11">
        <f>I14</f>
        <v>1.66</v>
      </c>
    </row>
    <row r="13">
      <c r="H13" s="5" t="s">
        <v>14</v>
      </c>
      <c r="I13" s="9">
        <v>12.5</v>
      </c>
      <c r="J13" s="10" t="s">
        <v>12</v>
      </c>
      <c r="L13" s="4" t="s">
        <v>15</v>
      </c>
      <c r="M13" s="11">
        <f>M12+I15</f>
        <v>10.66</v>
      </c>
    </row>
    <row r="14">
      <c r="H14" s="5" t="s">
        <v>16</v>
      </c>
      <c r="I14" s="9">
        <v>1.66</v>
      </c>
      <c r="J14" s="10" t="s">
        <v>12</v>
      </c>
      <c r="L14" s="4" t="s">
        <v>17</v>
      </c>
      <c r="M14" s="11">
        <f>I17</f>
        <v>0.18</v>
      </c>
    </row>
    <row r="15">
      <c r="H15" s="5" t="s">
        <v>18</v>
      </c>
      <c r="I15" s="9">
        <v>9.0</v>
      </c>
      <c r="J15" s="10" t="s">
        <v>12</v>
      </c>
      <c r="L15" s="4" t="s">
        <v>19</v>
      </c>
      <c r="M15" s="11">
        <f>I13-M14</f>
        <v>12.32</v>
      </c>
    </row>
    <row r="16" ht="75.0" customHeight="1">
      <c r="A16" s="12" t="s">
        <v>20</v>
      </c>
      <c r="B16" s="4" t="s">
        <v>21</v>
      </c>
      <c r="H16" s="5" t="s">
        <v>22</v>
      </c>
      <c r="I16" s="9">
        <v>1.66</v>
      </c>
      <c r="J16" s="10" t="s">
        <v>12</v>
      </c>
    </row>
    <row r="17">
      <c r="H17" s="5" t="s">
        <v>23</v>
      </c>
      <c r="I17" s="9">
        <f>I13-(I14+I15+I16)</f>
        <v>0.18</v>
      </c>
      <c r="J17" s="10" t="s">
        <v>12</v>
      </c>
    </row>
    <row r="18">
      <c r="H18" s="5" t="s">
        <v>24</v>
      </c>
      <c r="I18" s="9">
        <v>0.187</v>
      </c>
      <c r="J18" s="10" t="s">
        <v>25</v>
      </c>
    </row>
    <row r="19">
      <c r="A19" s="13" t="s">
        <v>26</v>
      </c>
      <c r="B19" s="14" t="s">
        <v>27</v>
      </c>
      <c r="C19" s="14" t="s">
        <v>28</v>
      </c>
      <c r="D19" s="14" t="s">
        <v>29</v>
      </c>
      <c r="E19" s="14" t="s">
        <v>30</v>
      </c>
      <c r="F19" s="15" t="s">
        <v>31</v>
      </c>
      <c r="H19" s="5" t="s">
        <v>32</v>
      </c>
      <c r="I19" s="9">
        <v>2.9E7</v>
      </c>
      <c r="J19" s="10" t="s">
        <v>33</v>
      </c>
      <c r="L19" s="4" t="s">
        <v>34</v>
      </c>
      <c r="M19" s="11">
        <f>I19*I20</f>
        <v>347.5425223</v>
      </c>
    </row>
    <row r="20">
      <c r="A20" s="16">
        <f>0</f>
        <v>0</v>
      </c>
      <c r="B20" s="17">
        <f t="shared" ref="B20:B42" si="1">IF(A20&lt;$I$14,0,IF(A20&lt;($I$14+$I$15),$I$18,0))
</f>
        <v>0</v>
      </c>
      <c r="C20" s="18">
        <f t="shared" ref="C20:C42" si="2"> $I$25
  - $I$18*MAX(A20 - $I$14, 0)
  + $I$18*MAX(A20 - ($I$14 + $I$15), 0)
  + $I$26*IF(A20 &gt;= $I$22, 1, 0)</f>
        <v>1.100928274</v>
      </c>
      <c r="D20" s="18">
        <f t="shared" ref="D20:D42" si="3"> $I$27
  + $I$25*A20
  - ($I$18/2)*MAX(A20 - $I$14, 0)^2
  + ($I$18/2)*MAX(A20 - ($I$14 + $I$15), 0)^2
  + $I$26*MAX(A20 - $I$22, 0)</f>
        <v>3.196156339</v>
      </c>
      <c r="E20" s="18">
        <f t="shared" ref="E20:E42" si="4">(
  $I$27*A20
  + ($I$25/2)*POWER(A20,2)
  - ($I$18/6)*POWER(MAX(A20-$I$14,0),3)
  + ($I$18/6)*POWER(MAX(A20-($I$14+$I$15),0),3)
  + ($I$26/2)*POWER(MAX(A20-$I$22,0),2)
)/($I$19*$I$20)</f>
        <v>0</v>
      </c>
      <c r="F20" s="19">
        <f t="shared" ref="F20:F42" si="5">IF(
  A20 &lt;= $I$22,
  -(
     ($I$27/2)*POWER(A20,2)
   + ($I$25/6)*POWER(A20,3)
   - ($I$18/24)*POWER(MAX(A20-$I$14,0),4)
   + ($I$18/24)*POWER(MAX(A20-($I$14+$I$15),0),4)
   + ($I$26/6)*POWER(MAX(A20-$I$22,0),3)
   )/($I$19*$I$20),
  $I$28*(A20 - $I$22)
)</f>
        <v>0</v>
      </c>
      <c r="H20" s="5" t="s">
        <v>35</v>
      </c>
      <c r="I20" s="9">
        <f>(PI()*I12^4)/64</f>
        <v>0.00001198422491</v>
      </c>
      <c r="J20" s="10" t="s">
        <v>36</v>
      </c>
    </row>
    <row r="21">
      <c r="A21" s="20">
        <f t="shared" ref="A21:A42" si="6">A20+$I$21</f>
        <v>0.625</v>
      </c>
      <c r="B21" s="21">
        <f t="shared" si="1"/>
        <v>0</v>
      </c>
      <c r="C21" s="22">
        <f t="shared" si="2"/>
        <v>1.100928274</v>
      </c>
      <c r="D21" s="22">
        <f t="shared" si="3"/>
        <v>3.884236511</v>
      </c>
      <c r="E21" s="22">
        <f t="shared" si="4"/>
        <v>0.006366480715</v>
      </c>
      <c r="F21" s="23">
        <f t="shared" si="5"/>
        <v>-0.001925077158</v>
      </c>
      <c r="H21" s="5" t="s">
        <v>37</v>
      </c>
      <c r="I21" s="24">
        <f>I13/(21-1)</f>
        <v>0.625</v>
      </c>
      <c r="J21" s="10" t="s">
        <v>12</v>
      </c>
    </row>
    <row r="22">
      <c r="A22" s="16">
        <f t="shared" si="6"/>
        <v>1.25</v>
      </c>
      <c r="B22" s="17">
        <f t="shared" si="1"/>
        <v>0</v>
      </c>
      <c r="C22" s="18">
        <f t="shared" si="2"/>
        <v>1.100928274</v>
      </c>
      <c r="D22" s="18">
        <f t="shared" si="3"/>
        <v>4.572316682</v>
      </c>
      <c r="E22" s="18">
        <f t="shared" si="4"/>
        <v>0.01397036428</v>
      </c>
      <c r="F22" s="19">
        <f t="shared" si="5"/>
        <v>-0.008215893154</v>
      </c>
      <c r="H22" s="5" t="s">
        <v>38</v>
      </c>
      <c r="I22" s="11">
        <f>I13 - I17</f>
        <v>12.32</v>
      </c>
    </row>
    <row r="23">
      <c r="A23" s="20">
        <f t="shared" si="6"/>
        <v>1.875</v>
      </c>
      <c r="B23" s="21">
        <f t="shared" si="1"/>
        <v>0.187</v>
      </c>
      <c r="C23" s="22">
        <f t="shared" si="2"/>
        <v>1.060723274</v>
      </c>
      <c r="D23" s="22">
        <f t="shared" si="3"/>
        <v>5.256074816</v>
      </c>
      <c r="E23" s="22">
        <f t="shared" si="4"/>
        <v>0.02281075945</v>
      </c>
      <c r="F23" s="23">
        <f t="shared" si="5"/>
        <v>-0.01964577686</v>
      </c>
      <c r="I23" s="25"/>
      <c r="J23" s="25"/>
    </row>
    <row r="24">
      <c r="A24" s="16">
        <f t="shared" si="6"/>
        <v>2.5</v>
      </c>
      <c r="B24" s="17">
        <f t="shared" si="1"/>
        <v>0.187</v>
      </c>
      <c r="C24" s="18">
        <f t="shared" si="2"/>
        <v>0.9438482743</v>
      </c>
      <c r="D24" s="18">
        <f t="shared" si="3"/>
        <v>5.882503425</v>
      </c>
      <c r="E24" s="18">
        <f t="shared" si="4"/>
        <v>0.03283718787</v>
      </c>
      <c r="F24" s="19">
        <f t="shared" si="5"/>
        <v>-0.03697708684</v>
      </c>
      <c r="H24" s="2" t="s">
        <v>39</v>
      </c>
      <c r="I24" s="26" t="s">
        <v>9</v>
      </c>
      <c r="J24" s="26" t="s">
        <v>10</v>
      </c>
    </row>
    <row r="25">
      <c r="A25" s="20">
        <f t="shared" si="6"/>
        <v>3.125</v>
      </c>
      <c r="B25" s="21">
        <f t="shared" si="1"/>
        <v>0.187</v>
      </c>
      <c r="C25" s="22">
        <f t="shared" si="2"/>
        <v>0.8269732743</v>
      </c>
      <c r="D25" s="22">
        <f t="shared" si="3"/>
        <v>6.435885159</v>
      </c>
      <c r="E25" s="22">
        <f t="shared" si="4"/>
        <v>0.04392446701</v>
      </c>
      <c r="F25" s="23">
        <f t="shared" si="5"/>
        <v>-0.06091327227</v>
      </c>
      <c r="H25" s="5" t="s">
        <v>40</v>
      </c>
      <c r="I25" s="9">
        <f> $I$18*$I$15 - $I$26</f>
        <v>1.100928274</v>
      </c>
    </row>
    <row r="26">
      <c r="A26" s="16">
        <f t="shared" si="6"/>
        <v>3.75</v>
      </c>
      <c r="B26" s="17">
        <f t="shared" si="1"/>
        <v>0.187</v>
      </c>
      <c r="C26" s="18">
        <f t="shared" si="2"/>
        <v>0.7100982743</v>
      </c>
      <c r="D26" s="18">
        <f t="shared" si="3"/>
        <v>6.916220018</v>
      </c>
      <c r="E26" s="18">
        <f t="shared" si="4"/>
        <v>0.05594123367</v>
      </c>
      <c r="F26" s="19">
        <f t="shared" si="5"/>
        <v>-0.09207631384</v>
      </c>
      <c r="H26" s="5" t="s">
        <v>41</v>
      </c>
      <c r="I26" s="9">
        <f> - ( $I$15*$I$18 / (8*($I$22^3)) ) *
  ( 4*$I$14^3 + 6*$I$14^2*$I$15 - 12*$I$14^2*$I$22
    + 4*$I$14*$I$15^2 - 12*$I$14*$I$15*$I$22
    + $I$15^3 - 4*$I$15^2*$I$22 )</f>
        <v>0.5820717257</v>
      </c>
    </row>
    <row r="27">
      <c r="A27" s="20">
        <f t="shared" si="6"/>
        <v>4.375</v>
      </c>
      <c r="B27" s="21">
        <f t="shared" si="1"/>
        <v>0.187</v>
      </c>
      <c r="C27" s="22">
        <f t="shared" si="2"/>
        <v>0.5932232743</v>
      </c>
      <c r="D27" s="22">
        <f t="shared" si="3"/>
        <v>7.323508002</v>
      </c>
      <c r="E27" s="22">
        <f t="shared" si="4"/>
        <v>0.06875612464</v>
      </c>
      <c r="F27" s="23">
        <f t="shared" si="5"/>
        <v>-0.1310060903</v>
      </c>
      <c r="H27" s="5" t="s">
        <v>42</v>
      </c>
      <c r="I27" s="11">
        <f> $I$18*$I$15*($I$14 + $I$15/2) - $I$26*$I$22
</f>
        <v>3.196156339</v>
      </c>
    </row>
    <row r="28">
      <c r="A28" s="16">
        <f t="shared" si="6"/>
        <v>5</v>
      </c>
      <c r="B28" s="17">
        <f t="shared" si="1"/>
        <v>0.187</v>
      </c>
      <c r="C28" s="18">
        <f t="shared" si="2"/>
        <v>0.4763482743</v>
      </c>
      <c r="D28" s="18">
        <f t="shared" si="3"/>
        <v>7.657749111</v>
      </c>
      <c r="E28" s="18">
        <f t="shared" si="4"/>
        <v>0.08223777673</v>
      </c>
      <c r="F28" s="19">
        <f t="shared" si="5"/>
        <v>-0.1781603782</v>
      </c>
      <c r="H28" s="5" t="s">
        <v>43</v>
      </c>
      <c r="I28" s="11">
        <f> ( I27*I22
  + (I25/2)*I22^2
  - (I18/6)*MAX(I22 - I14, 0)^3
  + (I18/6)*MAX(I22 - (I14 + I15), 0)^3
  ) / ( I19*I20 )</f>
        <v>0.2454838217</v>
      </c>
    </row>
    <row r="29">
      <c r="A29" s="20">
        <f t="shared" si="6"/>
        <v>5.625</v>
      </c>
      <c r="B29" s="21">
        <f t="shared" si="1"/>
        <v>0.187</v>
      </c>
      <c r="C29" s="22">
        <f t="shared" si="2"/>
        <v>0.3594732743</v>
      </c>
      <c r="D29" s="22">
        <f t="shared" si="3"/>
        <v>7.918943345</v>
      </c>
      <c r="E29" s="22">
        <f t="shared" si="4"/>
        <v>0.09625482675</v>
      </c>
      <c r="F29" s="23">
        <f t="shared" si="5"/>
        <v>-0.2339148524</v>
      </c>
      <c r="H29" s="5" t="s">
        <v>44</v>
      </c>
      <c r="I29" s="24">
        <f>DEGREES(I28)</f>
        <v>14.06518692</v>
      </c>
    </row>
    <row r="30">
      <c r="A30" s="16">
        <f t="shared" si="6"/>
        <v>6.25</v>
      </c>
      <c r="B30" s="17">
        <f t="shared" si="1"/>
        <v>0.187</v>
      </c>
      <c r="C30" s="18">
        <f t="shared" si="2"/>
        <v>0.2425982743</v>
      </c>
      <c r="D30" s="18">
        <f t="shared" si="3"/>
        <v>8.107090704</v>
      </c>
      <c r="E30" s="18">
        <f t="shared" si="4"/>
        <v>0.1106759115</v>
      </c>
      <c r="F30" s="19">
        <f t="shared" si="5"/>
        <v>-0.2985630855</v>
      </c>
      <c r="H30" s="4"/>
      <c r="I30" s="9"/>
      <c r="J30" s="25"/>
    </row>
    <row r="31">
      <c r="A31" s="20">
        <f t="shared" si="6"/>
        <v>6.875</v>
      </c>
      <c r="B31" s="21">
        <f t="shared" si="1"/>
        <v>0.187</v>
      </c>
      <c r="C31" s="22">
        <f t="shared" si="2"/>
        <v>0.1257232743</v>
      </c>
      <c r="D31" s="22">
        <f t="shared" si="3"/>
        <v>8.222191188</v>
      </c>
      <c r="E31" s="22">
        <f t="shared" si="4"/>
        <v>0.1253696678</v>
      </c>
      <c r="F31" s="23">
        <f t="shared" si="5"/>
        <v>-0.3723165483</v>
      </c>
      <c r="H31" s="4"/>
      <c r="I31" s="10"/>
      <c r="J31" s="10"/>
    </row>
    <row r="32">
      <c r="A32" s="16">
        <f t="shared" si="6"/>
        <v>7.5</v>
      </c>
      <c r="B32" s="17">
        <f t="shared" si="1"/>
        <v>0.187</v>
      </c>
      <c r="C32" s="18">
        <f t="shared" si="2"/>
        <v>0.008848274293</v>
      </c>
      <c r="D32" s="18">
        <f t="shared" si="3"/>
        <v>8.264244796</v>
      </c>
      <c r="E32" s="18">
        <f t="shared" si="4"/>
        <v>0.1402047324</v>
      </c>
      <c r="F32" s="19">
        <f t="shared" si="5"/>
        <v>-0.4553046095</v>
      </c>
      <c r="H32" s="4"/>
      <c r="I32" s="9"/>
    </row>
    <row r="33">
      <c r="A33" s="20">
        <f t="shared" si="6"/>
        <v>8.125</v>
      </c>
      <c r="B33" s="21">
        <f t="shared" si="1"/>
        <v>0.187</v>
      </c>
      <c r="C33" s="22">
        <f t="shared" si="2"/>
        <v>-0.1080267257</v>
      </c>
      <c r="D33" s="22">
        <f t="shared" si="3"/>
        <v>8.23325153</v>
      </c>
      <c r="E33" s="22">
        <f t="shared" si="4"/>
        <v>0.1550497421</v>
      </c>
      <c r="F33" s="23">
        <f t="shared" si="5"/>
        <v>-0.5475745357</v>
      </c>
      <c r="H33" s="4"/>
      <c r="I33" s="9"/>
    </row>
    <row r="34">
      <c r="A34" s="16">
        <f t="shared" si="6"/>
        <v>8.75</v>
      </c>
      <c r="B34" s="17">
        <f t="shared" si="1"/>
        <v>0.187</v>
      </c>
      <c r="C34" s="18">
        <f t="shared" si="2"/>
        <v>-0.2249017257</v>
      </c>
      <c r="D34" s="18">
        <f t="shared" si="3"/>
        <v>8.129211389</v>
      </c>
      <c r="E34" s="18">
        <f t="shared" si="4"/>
        <v>0.1697733338</v>
      </c>
      <c r="F34" s="19">
        <f t="shared" si="5"/>
        <v>-0.6490914917</v>
      </c>
      <c r="H34" s="4"/>
    </row>
    <row r="35">
      <c r="A35" s="20">
        <f t="shared" si="6"/>
        <v>9.375</v>
      </c>
      <c r="B35" s="21">
        <f t="shared" si="1"/>
        <v>0.187</v>
      </c>
      <c r="C35" s="22">
        <f t="shared" si="2"/>
        <v>-0.3417767257</v>
      </c>
      <c r="D35" s="22">
        <f t="shared" si="3"/>
        <v>7.952124373</v>
      </c>
      <c r="E35" s="22">
        <f t="shared" si="4"/>
        <v>0.1842441442</v>
      </c>
      <c r="F35" s="23">
        <f t="shared" si="5"/>
        <v>-0.7597385402</v>
      </c>
      <c r="H35" s="4"/>
    </row>
    <row r="36">
      <c r="A36" s="16">
        <f t="shared" si="6"/>
        <v>10</v>
      </c>
      <c r="B36" s="17">
        <f t="shared" si="1"/>
        <v>0.187</v>
      </c>
      <c r="C36" s="18">
        <f t="shared" si="2"/>
        <v>-0.4586517257</v>
      </c>
      <c r="D36" s="18">
        <f t="shared" si="3"/>
        <v>7.701990482</v>
      </c>
      <c r="E36" s="18">
        <f t="shared" si="4"/>
        <v>0.1983308101</v>
      </c>
      <c r="F36" s="19">
        <f t="shared" si="5"/>
        <v>-0.8793166418</v>
      </c>
      <c r="H36" s="4"/>
      <c r="I36" s="24"/>
    </row>
    <row r="37">
      <c r="A37" s="20">
        <f t="shared" si="6"/>
        <v>10.625</v>
      </c>
      <c r="B37" s="21">
        <f t="shared" si="1"/>
        <v>0.187</v>
      </c>
      <c r="C37" s="22">
        <f t="shared" si="2"/>
        <v>-0.5755267257</v>
      </c>
      <c r="D37" s="22">
        <f t="shared" si="3"/>
        <v>7.378809716</v>
      </c>
      <c r="E37" s="22">
        <f t="shared" si="4"/>
        <v>0.2119019685</v>
      </c>
      <c r="F37" s="23">
        <f t="shared" si="5"/>
        <v>-1.007544655</v>
      </c>
    </row>
    <row r="38">
      <c r="A38" s="16">
        <f t="shared" si="6"/>
        <v>11.25</v>
      </c>
      <c r="B38" s="17">
        <f t="shared" si="1"/>
        <v>0</v>
      </c>
      <c r="C38" s="18">
        <f t="shared" si="2"/>
        <v>-0.5820717257</v>
      </c>
      <c r="D38" s="18">
        <f t="shared" si="3"/>
        <v>7.015129425</v>
      </c>
      <c r="E38" s="18">
        <f t="shared" si="4"/>
        <v>0.2248446737</v>
      </c>
      <c r="F38" s="19">
        <f t="shared" si="5"/>
        <v>-1.144062054</v>
      </c>
      <c r="H38" s="4"/>
      <c r="I38" s="24"/>
      <c r="J38" s="10"/>
    </row>
    <row r="39">
      <c r="A39" s="20">
        <f t="shared" si="6"/>
        <v>11.875</v>
      </c>
      <c r="B39" s="21">
        <f t="shared" si="1"/>
        <v>0</v>
      </c>
      <c r="C39" s="22">
        <f t="shared" si="2"/>
        <v>-0.5820717257</v>
      </c>
      <c r="D39" s="22">
        <f t="shared" si="3"/>
        <v>6.651334597</v>
      </c>
      <c r="E39" s="22">
        <f t="shared" si="4"/>
        <v>0.2371331557</v>
      </c>
      <c r="F39" s="23">
        <f t="shared" si="5"/>
        <v>-1.2884642</v>
      </c>
    </row>
    <row r="40">
      <c r="A40" s="16">
        <f t="shared" si="6"/>
        <v>12.5</v>
      </c>
      <c r="B40" s="17">
        <f t="shared" si="1"/>
        <v>0</v>
      </c>
      <c r="C40" s="18">
        <f t="shared" si="2"/>
        <v>0</v>
      </c>
      <c r="D40" s="18">
        <f t="shared" si="3"/>
        <v>6.392312679</v>
      </c>
      <c r="E40" s="18">
        <f t="shared" si="4"/>
        <v>0.2487945425</v>
      </c>
      <c r="F40" s="19">
        <f t="shared" si="5"/>
        <v>0.0441870879</v>
      </c>
    </row>
    <row r="41">
      <c r="A41" s="20">
        <f t="shared" si="6"/>
        <v>13.125</v>
      </c>
      <c r="B41" s="21">
        <f t="shared" si="1"/>
        <v>0</v>
      </c>
      <c r="C41" s="22">
        <f t="shared" si="2"/>
        <v>0</v>
      </c>
      <c r="D41" s="22">
        <f t="shared" si="3"/>
        <v>6.392312679</v>
      </c>
      <c r="E41" s="22">
        <f t="shared" si="4"/>
        <v>0.2602901011</v>
      </c>
      <c r="F41" s="23">
        <f t="shared" si="5"/>
        <v>0.1976144764</v>
      </c>
    </row>
    <row r="42">
      <c r="A42" s="27">
        <f t="shared" si="6"/>
        <v>13.75</v>
      </c>
      <c r="B42" s="28">
        <f t="shared" si="1"/>
        <v>0</v>
      </c>
      <c r="C42" s="29">
        <f t="shared" si="2"/>
        <v>0</v>
      </c>
      <c r="D42" s="29">
        <f t="shared" si="3"/>
        <v>6.392312679</v>
      </c>
      <c r="E42" s="29">
        <f t="shared" si="4"/>
        <v>0.2717856597</v>
      </c>
      <c r="F42" s="30">
        <f t="shared" si="5"/>
        <v>0.351041865</v>
      </c>
    </row>
    <row r="43">
      <c r="F43" s="25"/>
    </row>
    <row r="44">
      <c r="F44" s="25"/>
    </row>
    <row r="45">
      <c r="F45" s="25"/>
    </row>
    <row r="46">
      <c r="F46" s="25"/>
    </row>
    <row r="47">
      <c r="F47" s="25"/>
    </row>
    <row r="48">
      <c r="F48" s="25"/>
    </row>
    <row r="49">
      <c r="F49" s="25"/>
    </row>
    <row r="50">
      <c r="F50" s="25"/>
    </row>
  </sheetData>
  <dataValidations>
    <dataValidation type="custom" allowBlank="1" showDropDown="1" sqref="A20:B42">
      <formula1>AND(ISNUMBER(A20),(NOT(OR(NOT(ISERROR(DATEVALUE(A20))), AND(ISNUMBER(A20), LEFT(CELL("format", A20))="D")))))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8" max="8" width="25.5"/>
    <col customWidth="1" min="9" max="9" width="16.75"/>
  </cols>
  <sheetData>
    <row r="3">
      <c r="H3" s="2" t="s">
        <v>1</v>
      </c>
      <c r="I3" s="3" t="s">
        <v>2</v>
      </c>
      <c r="J3" s="3" t="s">
        <v>3</v>
      </c>
      <c r="K3" s="3" t="s">
        <v>4</v>
      </c>
      <c r="L3" s="3" t="s">
        <v>5</v>
      </c>
      <c r="N3" s="4" t="s">
        <v>6</v>
      </c>
    </row>
    <row r="4">
      <c r="H4" s="5" t="s">
        <v>7</v>
      </c>
      <c r="I4" s="6">
        <v>1.2</v>
      </c>
      <c r="J4" s="7">
        <f>F36</f>
        <v>-1.2884642</v>
      </c>
      <c r="K4" s="6">
        <f>I4-J4</f>
        <v>2.4884642</v>
      </c>
      <c r="L4" s="4">
        <v>0.0</v>
      </c>
    </row>
    <row r="5">
      <c r="H5" s="5"/>
      <c r="I5" s="6"/>
      <c r="J5" s="7"/>
    </row>
    <row r="6">
      <c r="H6" s="5"/>
    </row>
    <row r="8">
      <c r="H8" s="8"/>
      <c r="I8" s="6"/>
      <c r="J8" s="7"/>
    </row>
    <row r="11">
      <c r="H11" s="2" t="s">
        <v>8</v>
      </c>
      <c r="I11" s="3" t="s">
        <v>9</v>
      </c>
      <c r="J11" s="3" t="s">
        <v>10</v>
      </c>
    </row>
    <row r="12">
      <c r="H12" s="5" t="s">
        <v>11</v>
      </c>
      <c r="I12" s="9">
        <v>0.125</v>
      </c>
      <c r="J12" s="10" t="s">
        <v>12</v>
      </c>
      <c r="L12" s="4" t="s">
        <v>13</v>
      </c>
      <c r="M12" s="11">
        <f>I14</f>
        <v>1.66</v>
      </c>
    </row>
    <row r="13">
      <c r="H13" s="5" t="s">
        <v>14</v>
      </c>
      <c r="I13" s="9">
        <v>12.5</v>
      </c>
      <c r="J13" s="10" t="s">
        <v>12</v>
      </c>
      <c r="L13" s="4" t="s">
        <v>15</v>
      </c>
      <c r="M13" s="11">
        <f>M12+I15</f>
        <v>10.66</v>
      </c>
    </row>
    <row r="14">
      <c r="H14" s="5" t="s">
        <v>16</v>
      </c>
      <c r="I14" s="9">
        <v>1.66</v>
      </c>
      <c r="J14" s="10" t="s">
        <v>12</v>
      </c>
      <c r="L14" s="4" t="s">
        <v>17</v>
      </c>
      <c r="M14" s="11">
        <f>I17</f>
        <v>0.18</v>
      </c>
    </row>
    <row r="15">
      <c r="H15" s="5" t="s">
        <v>18</v>
      </c>
      <c r="I15" s="9">
        <v>9.0</v>
      </c>
      <c r="J15" s="10" t="s">
        <v>12</v>
      </c>
      <c r="L15" s="4" t="s">
        <v>19</v>
      </c>
      <c r="M15" s="11">
        <f>I13-M14</f>
        <v>12.32</v>
      </c>
    </row>
    <row r="16" ht="75.0" customHeight="1">
      <c r="A16" s="13" t="s">
        <v>26</v>
      </c>
      <c r="B16" s="14" t="s">
        <v>27</v>
      </c>
      <c r="C16" s="14" t="s">
        <v>45</v>
      </c>
      <c r="D16" s="14" t="s">
        <v>46</v>
      </c>
      <c r="E16" s="14" t="s">
        <v>47</v>
      </c>
      <c r="F16" s="15" t="s">
        <v>31</v>
      </c>
      <c r="H16" s="5" t="s">
        <v>22</v>
      </c>
      <c r="I16" s="9">
        <v>1.66</v>
      </c>
      <c r="J16" s="10" t="s">
        <v>12</v>
      </c>
    </row>
    <row r="17">
      <c r="A17" s="16">
        <f>0</f>
        <v>0</v>
      </c>
      <c r="B17" s="17">
        <f t="shared" ref="B17:B39" si="1">IF(A17&lt;$I$14,0,IF(A17&lt;($I$14+$I$15),$I$18,0))
</f>
        <v>0</v>
      </c>
      <c r="C17" s="18">
        <f t="shared" ref="C17:C39" si="2"> $I$25
  - $I$18*MAX(A17 - $I$14, 0)
  + $I$18*MAX(A17 - ($I$14 + $I$15), 0)
  + $I$26*IF(A17 &gt;= $I$22, 1, 0)</f>
        <v>1.100928274</v>
      </c>
      <c r="D17" s="18">
        <f t="shared" ref="D17:D39" si="3"> $I$27
  + $I$25*A17
  - ($I$18/2)*MAX(A17 - $I$14, 0)^2
  + ($I$18/2)*MAX(A17 - ($I$14 + $I$15), 0)^2
  + $I$26*MAX(A17 - $I$22, 0)</f>
        <v>3.196156339</v>
      </c>
      <c r="E17" s="18">
        <f t="shared" ref="E17:E39" si="4">(
  $I$27*A17
  + ($I$25/2)*POWER(A17,2)
  - ($I$18/6)*POWER(MAX(A17-$I$14,0),3)
  + ($I$18/6)*POWER(MAX(A17-($I$14+$I$15),0),3)
  + ($I$26/2)*POWER(MAX(A17-$I$22,0),2)
)/($I$19*$I$20)</f>
        <v>0</v>
      </c>
      <c r="F17" s="19">
        <f t="shared" ref="F17:F39" si="5">IF(
  A17 &lt;= $I$22,
  -(
     ($I$27/2)*POWER(A17,2)
   + ($I$25/6)*POWER(A17,3)
   - ($I$18/24)*POWER(MAX(A17-$I$14,0),4)
   + ($I$18/24)*POWER(MAX(A17-($I$14+$I$15),0),4)
   + ($I$26/6)*POWER(MAX(A17-$I$22,0),3)
   )/($I$19*$I$20),
  $I$28*(A17 - $I$22)
)</f>
        <v>0</v>
      </c>
      <c r="H17" s="5" t="s">
        <v>23</v>
      </c>
      <c r="I17" s="9">
        <f>I13-(I14+I15+I16)</f>
        <v>0.18</v>
      </c>
      <c r="J17" s="10" t="s">
        <v>12</v>
      </c>
    </row>
    <row r="18">
      <c r="A18" s="20">
        <f t="shared" ref="A18:A39" si="6">A17+$I$21</f>
        <v>0.625</v>
      </c>
      <c r="B18" s="21">
        <f t="shared" si="1"/>
        <v>0</v>
      </c>
      <c r="C18" s="22">
        <f t="shared" si="2"/>
        <v>1.100928274</v>
      </c>
      <c r="D18" s="22">
        <f t="shared" si="3"/>
        <v>3.884236511</v>
      </c>
      <c r="E18" s="22">
        <f t="shared" si="4"/>
        <v>0.006366480715</v>
      </c>
      <c r="F18" s="23">
        <f t="shared" si="5"/>
        <v>-0.001925077158</v>
      </c>
      <c r="H18" s="5" t="s">
        <v>24</v>
      </c>
      <c r="I18" s="9">
        <v>0.187</v>
      </c>
      <c r="J18" s="10" t="s">
        <v>25</v>
      </c>
    </row>
    <row r="19">
      <c r="A19" s="16">
        <f t="shared" si="6"/>
        <v>1.25</v>
      </c>
      <c r="B19" s="17">
        <f t="shared" si="1"/>
        <v>0</v>
      </c>
      <c r="C19" s="18">
        <f t="shared" si="2"/>
        <v>1.100928274</v>
      </c>
      <c r="D19" s="18">
        <f t="shared" si="3"/>
        <v>4.572316682</v>
      </c>
      <c r="E19" s="18">
        <f t="shared" si="4"/>
        <v>0.01397036428</v>
      </c>
      <c r="F19" s="19">
        <f t="shared" si="5"/>
        <v>-0.008215893154</v>
      </c>
      <c r="H19" s="5" t="s">
        <v>32</v>
      </c>
      <c r="I19" s="9">
        <v>2.9E7</v>
      </c>
      <c r="J19" s="10" t="s">
        <v>33</v>
      </c>
      <c r="L19" s="4" t="s">
        <v>34</v>
      </c>
      <c r="M19" s="11">
        <f>I19*I20</f>
        <v>347.5425223</v>
      </c>
    </row>
    <row r="20">
      <c r="A20" s="20">
        <f t="shared" si="6"/>
        <v>1.875</v>
      </c>
      <c r="B20" s="21">
        <f t="shared" si="1"/>
        <v>0.187</v>
      </c>
      <c r="C20" s="22">
        <f t="shared" si="2"/>
        <v>1.060723274</v>
      </c>
      <c r="D20" s="22">
        <f t="shared" si="3"/>
        <v>5.256074816</v>
      </c>
      <c r="E20" s="22">
        <f t="shared" si="4"/>
        <v>0.02281075945</v>
      </c>
      <c r="F20" s="23">
        <f t="shared" si="5"/>
        <v>-0.01964577686</v>
      </c>
      <c r="H20" s="5" t="s">
        <v>35</v>
      </c>
      <c r="I20" s="9">
        <f>(PI()*I12^4)/64</f>
        <v>0.00001198422491</v>
      </c>
      <c r="J20" s="10" t="s">
        <v>36</v>
      </c>
    </row>
    <row r="21">
      <c r="A21" s="16">
        <f t="shared" si="6"/>
        <v>2.5</v>
      </c>
      <c r="B21" s="17">
        <f t="shared" si="1"/>
        <v>0.187</v>
      </c>
      <c r="C21" s="18">
        <f t="shared" si="2"/>
        <v>0.9438482743</v>
      </c>
      <c r="D21" s="18">
        <f t="shared" si="3"/>
        <v>5.882503425</v>
      </c>
      <c r="E21" s="18">
        <f t="shared" si="4"/>
        <v>0.03283718787</v>
      </c>
      <c r="F21" s="19">
        <f t="shared" si="5"/>
        <v>-0.03697708684</v>
      </c>
      <c r="H21" s="5" t="s">
        <v>37</v>
      </c>
      <c r="I21" s="24">
        <f>I13/(21-1)</f>
        <v>0.625</v>
      </c>
      <c r="J21" s="10" t="s">
        <v>12</v>
      </c>
    </row>
    <row r="22">
      <c r="A22" s="20">
        <f t="shared" si="6"/>
        <v>3.125</v>
      </c>
      <c r="B22" s="21">
        <f t="shared" si="1"/>
        <v>0.187</v>
      </c>
      <c r="C22" s="22">
        <f t="shared" si="2"/>
        <v>0.8269732743</v>
      </c>
      <c r="D22" s="22">
        <f t="shared" si="3"/>
        <v>6.435885159</v>
      </c>
      <c r="E22" s="22">
        <f t="shared" si="4"/>
        <v>0.04392446701</v>
      </c>
      <c r="F22" s="23">
        <f t="shared" si="5"/>
        <v>-0.06091327227</v>
      </c>
      <c r="H22" s="5" t="s">
        <v>38</v>
      </c>
      <c r="I22" s="11">
        <f>I13 - I17</f>
        <v>12.32</v>
      </c>
    </row>
    <row r="23">
      <c r="A23" s="16">
        <f t="shared" si="6"/>
        <v>3.75</v>
      </c>
      <c r="B23" s="17">
        <f t="shared" si="1"/>
        <v>0.187</v>
      </c>
      <c r="C23" s="18">
        <f t="shared" si="2"/>
        <v>0.7100982743</v>
      </c>
      <c r="D23" s="18">
        <f t="shared" si="3"/>
        <v>6.916220018</v>
      </c>
      <c r="E23" s="18">
        <f t="shared" si="4"/>
        <v>0.05594123367</v>
      </c>
      <c r="F23" s="19">
        <f t="shared" si="5"/>
        <v>-0.09207631384</v>
      </c>
      <c r="I23" s="25"/>
      <c r="J23" s="25"/>
    </row>
    <row r="24">
      <c r="A24" s="20">
        <f t="shared" si="6"/>
        <v>4.375</v>
      </c>
      <c r="B24" s="21">
        <f t="shared" si="1"/>
        <v>0.187</v>
      </c>
      <c r="C24" s="22">
        <f t="shared" si="2"/>
        <v>0.5932232743</v>
      </c>
      <c r="D24" s="22">
        <f t="shared" si="3"/>
        <v>7.323508002</v>
      </c>
      <c r="E24" s="22">
        <f t="shared" si="4"/>
        <v>0.06875612464</v>
      </c>
      <c r="F24" s="23">
        <f t="shared" si="5"/>
        <v>-0.1310060903</v>
      </c>
      <c r="H24" s="2" t="s">
        <v>39</v>
      </c>
      <c r="I24" s="26" t="s">
        <v>9</v>
      </c>
      <c r="J24" s="26" t="s">
        <v>10</v>
      </c>
    </row>
    <row r="25">
      <c r="A25" s="16">
        <f t="shared" si="6"/>
        <v>5</v>
      </c>
      <c r="B25" s="17">
        <f t="shared" si="1"/>
        <v>0.187</v>
      </c>
      <c r="C25" s="18">
        <f t="shared" si="2"/>
        <v>0.4763482743</v>
      </c>
      <c r="D25" s="18">
        <f t="shared" si="3"/>
        <v>7.657749111</v>
      </c>
      <c r="E25" s="18">
        <f t="shared" si="4"/>
        <v>0.08223777673</v>
      </c>
      <c r="F25" s="19">
        <f t="shared" si="5"/>
        <v>-0.1781603782</v>
      </c>
      <c r="H25" s="5" t="s">
        <v>40</v>
      </c>
      <c r="I25" s="9">
        <f> I18*I15 - I26</f>
        <v>1.100928274</v>
      </c>
    </row>
    <row r="26">
      <c r="A26" s="20">
        <f t="shared" si="6"/>
        <v>5.625</v>
      </c>
      <c r="B26" s="21">
        <f t="shared" si="1"/>
        <v>0.187</v>
      </c>
      <c r="C26" s="22">
        <f t="shared" si="2"/>
        <v>0.3594732743</v>
      </c>
      <c r="D26" s="22">
        <f t="shared" si="3"/>
        <v>7.918943345</v>
      </c>
      <c r="E26" s="22">
        <f t="shared" si="4"/>
        <v>0.09625482675</v>
      </c>
      <c r="F26" s="23">
        <f t="shared" si="5"/>
        <v>-0.2339148524</v>
      </c>
      <c r="H26" s="5" t="s">
        <v>41</v>
      </c>
      <c r="I26" s="9">
        <f> - ( I15*I18 / (8*( I22^3 )) ) *
  ( 4*I14^3 + 6*I14^2*I15 - 12*I14^2*I22
    + 4*I14*I15^2 - 12*I14*I15*I22
    + I15^3 - 4*I15^2*I22 )</f>
        <v>0.5820717257</v>
      </c>
    </row>
    <row r="27">
      <c r="A27" s="16">
        <f t="shared" si="6"/>
        <v>6.25</v>
      </c>
      <c r="B27" s="17">
        <f t="shared" si="1"/>
        <v>0.187</v>
      </c>
      <c r="C27" s="18">
        <f t="shared" si="2"/>
        <v>0.2425982743</v>
      </c>
      <c r="D27" s="18">
        <f t="shared" si="3"/>
        <v>8.107090704</v>
      </c>
      <c r="E27" s="18">
        <f t="shared" si="4"/>
        <v>0.1106759115</v>
      </c>
      <c r="F27" s="19">
        <f t="shared" si="5"/>
        <v>-0.2985630855</v>
      </c>
      <c r="H27" s="5" t="s">
        <v>42</v>
      </c>
      <c r="I27" s="11">
        <f> I18*I15*( I14 + I15/2 ) - I26*I22</f>
        <v>3.196156339</v>
      </c>
    </row>
    <row r="28">
      <c r="A28" s="20">
        <f t="shared" si="6"/>
        <v>6.875</v>
      </c>
      <c r="B28" s="21">
        <f t="shared" si="1"/>
        <v>0.187</v>
      </c>
      <c r="C28" s="22">
        <f t="shared" si="2"/>
        <v>0.1257232743</v>
      </c>
      <c r="D28" s="22">
        <f t="shared" si="3"/>
        <v>8.222191188</v>
      </c>
      <c r="E28" s="22">
        <f t="shared" si="4"/>
        <v>0.1253696678</v>
      </c>
      <c r="F28" s="23">
        <f t="shared" si="5"/>
        <v>-0.3723165483</v>
      </c>
      <c r="H28" s="5" t="s">
        <v>43</v>
      </c>
      <c r="I28" s="11">
        <f> ( I27*I22
  + (I25/2)*I22^2
  - (I18/6)*MAX(I22 - I14, 0)^3
  + (I18/6)*MAX(I22 - (I14 + I15), 0)^3
  ) / ( I19*I20 )</f>
        <v>0.2454838217</v>
      </c>
    </row>
    <row r="29">
      <c r="A29" s="16">
        <f t="shared" si="6"/>
        <v>7.5</v>
      </c>
      <c r="B29" s="17">
        <f t="shared" si="1"/>
        <v>0.187</v>
      </c>
      <c r="C29" s="18">
        <f t="shared" si="2"/>
        <v>0.008848274293</v>
      </c>
      <c r="D29" s="18">
        <f t="shared" si="3"/>
        <v>8.264244796</v>
      </c>
      <c r="E29" s="18">
        <f t="shared" si="4"/>
        <v>0.1402047324</v>
      </c>
      <c r="F29" s="19">
        <f t="shared" si="5"/>
        <v>-0.4553046095</v>
      </c>
      <c r="H29" s="5" t="s">
        <v>44</v>
      </c>
      <c r="I29" s="24">
        <f>DEGREES(I28)</f>
        <v>14.06518692</v>
      </c>
    </row>
    <row r="30">
      <c r="A30" s="20">
        <f t="shared" si="6"/>
        <v>8.125</v>
      </c>
      <c r="B30" s="21">
        <f t="shared" si="1"/>
        <v>0.187</v>
      </c>
      <c r="C30" s="22">
        <f t="shared" si="2"/>
        <v>-0.1080267257</v>
      </c>
      <c r="D30" s="22">
        <f t="shared" si="3"/>
        <v>8.23325153</v>
      </c>
      <c r="E30" s="22">
        <f t="shared" si="4"/>
        <v>0.1550497421</v>
      </c>
      <c r="F30" s="23">
        <f t="shared" si="5"/>
        <v>-0.5475745357</v>
      </c>
      <c r="H30" s="8"/>
      <c r="I30" s="9"/>
      <c r="J30" s="25"/>
    </row>
    <row r="31">
      <c r="A31" s="16">
        <f t="shared" si="6"/>
        <v>8.75</v>
      </c>
      <c r="B31" s="17">
        <f t="shared" si="1"/>
        <v>0.187</v>
      </c>
      <c r="C31" s="18">
        <f t="shared" si="2"/>
        <v>-0.2249017257</v>
      </c>
      <c r="D31" s="18">
        <f t="shared" si="3"/>
        <v>8.129211389</v>
      </c>
      <c r="E31" s="18">
        <f t="shared" si="4"/>
        <v>0.1697733338</v>
      </c>
      <c r="F31" s="19">
        <f t="shared" si="5"/>
        <v>-0.6490914917</v>
      </c>
      <c r="H31" s="4"/>
      <c r="I31" s="10"/>
      <c r="J31" s="10"/>
    </row>
    <row r="32">
      <c r="A32" s="20">
        <f t="shared" si="6"/>
        <v>9.375</v>
      </c>
      <c r="B32" s="21">
        <f t="shared" si="1"/>
        <v>0.187</v>
      </c>
      <c r="C32" s="22">
        <f t="shared" si="2"/>
        <v>-0.3417767257</v>
      </c>
      <c r="D32" s="22">
        <f t="shared" si="3"/>
        <v>7.952124373</v>
      </c>
      <c r="E32" s="22">
        <f t="shared" si="4"/>
        <v>0.1842441442</v>
      </c>
      <c r="F32" s="23">
        <f t="shared" si="5"/>
        <v>-0.7597385402</v>
      </c>
      <c r="H32" s="4"/>
      <c r="I32" s="9"/>
    </row>
    <row r="33">
      <c r="A33" s="16">
        <f t="shared" si="6"/>
        <v>10</v>
      </c>
      <c r="B33" s="17">
        <f t="shared" si="1"/>
        <v>0.187</v>
      </c>
      <c r="C33" s="18">
        <f t="shared" si="2"/>
        <v>-0.4586517257</v>
      </c>
      <c r="D33" s="18">
        <f t="shared" si="3"/>
        <v>7.701990482</v>
      </c>
      <c r="E33" s="18">
        <f t="shared" si="4"/>
        <v>0.1983308101</v>
      </c>
      <c r="F33" s="19">
        <f t="shared" si="5"/>
        <v>-0.8793166418</v>
      </c>
      <c r="H33" s="4"/>
      <c r="I33" s="9"/>
    </row>
    <row r="34">
      <c r="A34" s="20">
        <f t="shared" si="6"/>
        <v>10.625</v>
      </c>
      <c r="B34" s="21">
        <f t="shared" si="1"/>
        <v>0.187</v>
      </c>
      <c r="C34" s="22">
        <f t="shared" si="2"/>
        <v>-0.5755267257</v>
      </c>
      <c r="D34" s="22">
        <f t="shared" si="3"/>
        <v>7.378809716</v>
      </c>
      <c r="E34" s="22">
        <f t="shared" si="4"/>
        <v>0.2119019685</v>
      </c>
      <c r="F34" s="23">
        <f t="shared" si="5"/>
        <v>-1.007544655</v>
      </c>
      <c r="H34" s="4"/>
    </row>
    <row r="35">
      <c r="A35" s="16">
        <f t="shared" si="6"/>
        <v>11.25</v>
      </c>
      <c r="B35" s="17">
        <f t="shared" si="1"/>
        <v>0</v>
      </c>
      <c r="C35" s="18">
        <f t="shared" si="2"/>
        <v>-0.5820717257</v>
      </c>
      <c r="D35" s="18">
        <f t="shared" si="3"/>
        <v>7.015129425</v>
      </c>
      <c r="E35" s="18">
        <f t="shared" si="4"/>
        <v>0.2248446737</v>
      </c>
      <c r="F35" s="19">
        <f t="shared" si="5"/>
        <v>-1.144062054</v>
      </c>
      <c r="H35" s="4"/>
    </row>
    <row r="36">
      <c r="A36" s="20">
        <f t="shared" si="6"/>
        <v>11.875</v>
      </c>
      <c r="B36" s="21">
        <f t="shared" si="1"/>
        <v>0</v>
      </c>
      <c r="C36" s="22">
        <f t="shared" si="2"/>
        <v>-0.5820717257</v>
      </c>
      <c r="D36" s="22">
        <f t="shared" si="3"/>
        <v>6.651334597</v>
      </c>
      <c r="E36" s="22">
        <f t="shared" si="4"/>
        <v>0.2371331557</v>
      </c>
      <c r="F36" s="23">
        <f t="shared" si="5"/>
        <v>-1.2884642</v>
      </c>
      <c r="H36" s="4"/>
      <c r="I36" s="24"/>
    </row>
    <row r="37">
      <c r="A37" s="16">
        <f t="shared" si="6"/>
        <v>12.5</v>
      </c>
      <c r="B37" s="17">
        <f t="shared" si="1"/>
        <v>0</v>
      </c>
      <c r="C37" s="18">
        <f t="shared" si="2"/>
        <v>0</v>
      </c>
      <c r="D37" s="18">
        <f t="shared" si="3"/>
        <v>6.392312679</v>
      </c>
      <c r="E37" s="18">
        <f t="shared" si="4"/>
        <v>0.2487945425</v>
      </c>
      <c r="F37" s="19">
        <f t="shared" si="5"/>
        <v>0.0441870879</v>
      </c>
    </row>
    <row r="38">
      <c r="A38" s="20">
        <f t="shared" si="6"/>
        <v>13.125</v>
      </c>
      <c r="B38" s="21">
        <f t="shared" si="1"/>
        <v>0</v>
      </c>
      <c r="C38" s="22">
        <f t="shared" si="2"/>
        <v>0</v>
      </c>
      <c r="D38" s="22">
        <f t="shared" si="3"/>
        <v>6.392312679</v>
      </c>
      <c r="E38" s="22">
        <f t="shared" si="4"/>
        <v>0.2602901011</v>
      </c>
      <c r="F38" s="23">
        <f t="shared" si="5"/>
        <v>0.1976144764</v>
      </c>
    </row>
    <row r="39">
      <c r="A39" s="27">
        <f t="shared" si="6"/>
        <v>13.75</v>
      </c>
      <c r="B39" s="28">
        <f t="shared" si="1"/>
        <v>0</v>
      </c>
      <c r="C39" s="29">
        <f t="shared" si="2"/>
        <v>0</v>
      </c>
      <c r="D39" s="29">
        <f t="shared" si="3"/>
        <v>6.392312679</v>
      </c>
      <c r="E39" s="29">
        <f t="shared" si="4"/>
        <v>0.2717856597</v>
      </c>
      <c r="F39" s="30">
        <f t="shared" si="5"/>
        <v>0.351041865</v>
      </c>
    </row>
    <row r="40">
      <c r="F40" s="25"/>
    </row>
    <row r="41">
      <c r="F41" s="25"/>
    </row>
    <row r="42">
      <c r="F42" s="25"/>
    </row>
    <row r="43">
      <c r="F43" s="25"/>
    </row>
    <row r="44">
      <c r="F44" s="25"/>
    </row>
    <row r="45">
      <c r="F45" s="25"/>
    </row>
    <row r="46">
      <c r="F46" s="25"/>
    </row>
    <row r="47">
      <c r="F47" s="25"/>
    </row>
    <row r="48">
      <c r="F48" s="25"/>
    </row>
    <row r="49">
      <c r="F49" s="25"/>
    </row>
    <row r="50">
      <c r="F50" s="25"/>
    </row>
  </sheetData>
  <dataValidations>
    <dataValidation type="custom" allowBlank="1" showDropDown="1" sqref="A17:B39">
      <formula1>AND(ISNUMBER(A17),(NOT(OR(NOT(ISERROR(DATEVALUE(A17))), AND(ISNUMBER(A17), LEFT(CELL("format", A17))="D")))))</formula1>
    </dataValidation>
  </dataValidations>
  <drawing r:id="rId1"/>
  <tableParts count="1">
    <tablePart r:id="rId3"/>
  </tableParts>
</worksheet>
</file>